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8_{1014D195-0F5F-48AB-BAC5-A641863E2EEC}" xr6:coauthVersionLast="47" xr6:coauthVersionMax="47" xr10:uidLastSave="{00000000-0000-0000-0000-000000000000}"/>
  <bookViews>
    <workbookView xWindow="-108" yWindow="-108" windowWidth="23256" windowHeight="12456" xr2:uid="{3A151E02-BBBA-4D83-B73F-4F3D46ED38AE}"/>
  </bookViews>
  <sheets>
    <sheet name="GB-Attribu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37" i="1"/>
  <c r="D35" i="1"/>
  <c r="D34" i="1"/>
  <c r="D32" i="1"/>
  <c r="D31" i="1"/>
  <c r="B27" i="1"/>
  <c r="D25" i="1"/>
  <c r="D24" i="1"/>
  <c r="D23" i="1"/>
  <c r="D22" i="1"/>
  <c r="D21" i="1"/>
  <c r="D20" i="1"/>
  <c r="D19" i="1"/>
  <c r="D18" i="1"/>
  <c r="C25" i="1"/>
  <c r="C24" i="1"/>
  <c r="C23" i="1"/>
  <c r="C22" i="1"/>
  <c r="C21" i="1"/>
  <c r="C20" i="1"/>
  <c r="C19" i="1"/>
  <c r="C18" i="1"/>
  <c r="D13" i="1"/>
  <c r="D12" i="1"/>
  <c r="F38" i="1"/>
  <c r="F37" i="1"/>
  <c r="F35" i="1"/>
  <c r="F34" i="1"/>
  <c r="F32" i="1"/>
  <c r="F31" i="1"/>
  <c r="D27" i="1"/>
  <c r="F13" i="1"/>
  <c r="F12" i="1"/>
</calcChain>
</file>

<file path=xl/sharedStrings.xml><?xml version="1.0" encoding="utf-8"?>
<sst xmlns="http://schemas.openxmlformats.org/spreadsheetml/2006/main" count="21" uniqueCount="19">
  <si>
    <t>x</t>
  </si>
  <si>
    <t>y</t>
  </si>
  <si>
    <t>Step#1</t>
  </si>
  <si>
    <t>Base probability</t>
  </si>
  <si>
    <t>=3/8</t>
  </si>
  <si>
    <t>Logit or log of odds ratio</t>
  </si>
  <si>
    <t>Step#2</t>
  </si>
  <si>
    <t>prob</t>
  </si>
  <si>
    <t>residual1</t>
  </si>
  <si>
    <t>Hessian</t>
  </si>
  <si>
    <t>=0.375*(1-0.375)</t>
  </si>
  <si>
    <t>Let's consider the split rule as that for x&lt;=4, the response is 0 and x&gt;4 the response is 1</t>
  </si>
  <si>
    <t>Newton Leaf Value = Sum of all residuals/(Freq*Hessian)</t>
  </si>
  <si>
    <t>NLV for the left node</t>
  </si>
  <si>
    <t>NLV for the right node</t>
  </si>
  <si>
    <t>New logit for the left node</t>
  </si>
  <si>
    <t>New logit for the right node</t>
  </si>
  <si>
    <t>Prob for the left node</t>
  </si>
  <si>
    <t>Prob for the right 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</si>
</sst>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473D-2FEE-4A31-A823-3A918D05FAE9}">
  <dimension ref="A1:I38"/>
  <sheetViews>
    <sheetView tabSelected="1" zoomScale="137" zoomScaleNormal="130" workbookViewId="0">
      <selection activeCell="E43" sqref="E4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</row>
    <row r="2" spans="1:9" x14ac:dyDescent="0.3">
      <c r="A2" s="2">
        <v>1</v>
      </c>
      <c r="B2" s="2">
        <v>0</v>
      </c>
    </row>
    <row r="3" spans="1:9" x14ac:dyDescent="0.3">
      <c r="A3" s="2">
        <v>2</v>
      </c>
      <c r="B3" s="2">
        <v>0</v>
      </c>
    </row>
    <row r="4" spans="1:9" x14ac:dyDescent="0.3">
      <c r="A4" s="2">
        <v>3</v>
      </c>
      <c r="B4" s="2">
        <v>0</v>
      </c>
    </row>
    <row r="5" spans="1:9" x14ac:dyDescent="0.3">
      <c r="A5" s="2">
        <v>4</v>
      </c>
      <c r="B5" s="2">
        <v>0</v>
      </c>
    </row>
    <row r="6" spans="1:9" x14ac:dyDescent="0.3">
      <c r="A6" s="2">
        <v>5</v>
      </c>
      <c r="B6" s="2">
        <v>0</v>
      </c>
    </row>
    <row r="7" spans="1:9" x14ac:dyDescent="0.3">
      <c r="A7" s="2">
        <v>6</v>
      </c>
      <c r="B7" s="2">
        <v>1</v>
      </c>
    </row>
    <row r="8" spans="1:9" x14ac:dyDescent="0.3">
      <c r="A8" s="2">
        <v>7</v>
      </c>
      <c r="B8" s="2">
        <v>1</v>
      </c>
    </row>
    <row r="9" spans="1:9" x14ac:dyDescent="0.3">
      <c r="A9" s="2">
        <v>8</v>
      </c>
      <c r="B9" s="2">
        <v>1</v>
      </c>
    </row>
    <row r="11" spans="1:9" x14ac:dyDescent="0.3">
      <c r="A11" t="s">
        <v>2</v>
      </c>
    </row>
    <row r="12" spans="1:9" x14ac:dyDescent="0.3">
      <c r="A12" t="s">
        <v>3</v>
      </c>
      <c r="D12">
        <f>SUM(B2:B9)/COUNT(A2:A9)</f>
        <v>0.375</v>
      </c>
      <c r="F12" t="str">
        <f ca="1">_xlfn.FORMULATEXT(D12)</f>
        <v>=SUM(B2:B9)/COUNT(A2:A9)</v>
      </c>
      <c r="I12" s="3" t="s">
        <v>4</v>
      </c>
    </row>
    <row r="13" spans="1:9" x14ac:dyDescent="0.3">
      <c r="A13" t="s">
        <v>5</v>
      </c>
      <c r="D13">
        <f>LOG(D12/(1-D12),2.7183)</f>
        <v>-0.51082220896346076</v>
      </c>
      <c r="F13" t="str">
        <f ca="1">_xlfn.FORMULATEXT(D13)</f>
        <v>=LOG(D12/(1-D12),2.7183)</v>
      </c>
    </row>
    <row r="16" spans="1:9" x14ac:dyDescent="0.3">
      <c r="A16" t="s">
        <v>6</v>
      </c>
    </row>
    <row r="17" spans="1:6" x14ac:dyDescent="0.3">
      <c r="A17" s="1" t="s">
        <v>0</v>
      </c>
      <c r="B17" s="1" t="s">
        <v>1</v>
      </c>
      <c r="C17" t="s">
        <v>7</v>
      </c>
      <c r="D17" t="s">
        <v>8</v>
      </c>
    </row>
    <row r="18" spans="1:6" x14ac:dyDescent="0.3">
      <c r="A18" s="2">
        <v>1</v>
      </c>
      <c r="B18" s="2">
        <v>0</v>
      </c>
      <c r="C18">
        <f>$D$12</f>
        <v>0.375</v>
      </c>
      <c r="D18">
        <f>B18-C18</f>
        <v>-0.375</v>
      </c>
    </row>
    <row r="19" spans="1:6" x14ac:dyDescent="0.3">
      <c r="A19" s="2">
        <v>2</v>
      </c>
      <c r="B19" s="2">
        <v>0</v>
      </c>
      <c r="C19">
        <f t="shared" ref="C19:C25" si="0">$D$12</f>
        <v>0.375</v>
      </c>
      <c r="D19">
        <f t="shared" ref="D19:D25" si="1">B19-C19</f>
        <v>-0.375</v>
      </c>
    </row>
    <row r="20" spans="1:6" x14ac:dyDescent="0.3">
      <c r="A20" s="2">
        <v>3</v>
      </c>
      <c r="B20" s="2">
        <v>0</v>
      </c>
      <c r="C20">
        <f t="shared" si="0"/>
        <v>0.375</v>
      </c>
      <c r="D20">
        <f t="shared" si="1"/>
        <v>-0.375</v>
      </c>
    </row>
    <row r="21" spans="1:6" x14ac:dyDescent="0.3">
      <c r="A21" s="2">
        <v>4</v>
      </c>
      <c r="B21" s="2">
        <v>0</v>
      </c>
      <c r="C21">
        <f t="shared" si="0"/>
        <v>0.375</v>
      </c>
      <c r="D21">
        <f t="shared" si="1"/>
        <v>-0.375</v>
      </c>
    </row>
    <row r="22" spans="1:6" x14ac:dyDescent="0.3">
      <c r="A22" s="2">
        <v>5</v>
      </c>
      <c r="B22" s="2">
        <v>0</v>
      </c>
      <c r="C22">
        <f t="shared" si="0"/>
        <v>0.375</v>
      </c>
      <c r="D22">
        <f t="shared" si="1"/>
        <v>-0.375</v>
      </c>
    </row>
    <row r="23" spans="1:6" x14ac:dyDescent="0.3">
      <c r="A23" s="2">
        <v>6</v>
      </c>
      <c r="B23" s="2">
        <v>1</v>
      </c>
      <c r="C23">
        <f t="shared" si="0"/>
        <v>0.375</v>
      </c>
      <c r="D23">
        <f t="shared" si="1"/>
        <v>0.625</v>
      </c>
    </row>
    <row r="24" spans="1:6" x14ac:dyDescent="0.3">
      <c r="A24" s="2">
        <v>7</v>
      </c>
      <c r="B24" s="2">
        <v>1</v>
      </c>
      <c r="C24">
        <f t="shared" si="0"/>
        <v>0.375</v>
      </c>
      <c r="D24">
        <f t="shared" si="1"/>
        <v>0.625</v>
      </c>
    </row>
    <row r="25" spans="1:6" x14ac:dyDescent="0.3">
      <c r="A25" s="2">
        <v>8</v>
      </c>
      <c r="B25" s="2">
        <v>1</v>
      </c>
      <c r="C25">
        <f t="shared" si="0"/>
        <v>0.375</v>
      </c>
      <c r="D25">
        <f t="shared" si="1"/>
        <v>0.625</v>
      </c>
    </row>
    <row r="27" spans="1:6" x14ac:dyDescent="0.3">
      <c r="A27" t="s">
        <v>9</v>
      </c>
      <c r="B27">
        <f>D12*(1-D12)</f>
        <v>0.234375</v>
      </c>
      <c r="D27" t="str">
        <f ca="1">_xlfn.FORMULATEXT(B27)</f>
        <v>=D12*(1-D12)</v>
      </c>
      <c r="F27" s="3" t="s">
        <v>10</v>
      </c>
    </row>
    <row r="29" spans="1:6" x14ac:dyDescent="0.3">
      <c r="A29" t="s">
        <v>11</v>
      </c>
    </row>
    <row r="30" spans="1:6" x14ac:dyDescent="0.3">
      <c r="A30" t="s">
        <v>12</v>
      </c>
    </row>
    <row r="31" spans="1:6" x14ac:dyDescent="0.3">
      <c r="A31" t="s">
        <v>13</v>
      </c>
      <c r="D31">
        <f>SUM(D18:D21)/(4*B27)</f>
        <v>-1.6</v>
      </c>
      <c r="F31" t="str">
        <f ca="1">_xlfn.FORMULATEXT(D31)</f>
        <v>=SUM(D18:D21)/(4*B27)</v>
      </c>
    </row>
    <row r="32" spans="1:6" x14ac:dyDescent="0.3">
      <c r="A32" t="s">
        <v>14</v>
      </c>
      <c r="D32">
        <f>SUM(D22:D25)/(4*B27)</f>
        <v>1.6</v>
      </c>
      <c r="F32" t="str">
        <f ca="1">_xlfn.FORMULATEXT(D32)</f>
        <v>=SUM(D22:D25)/(4*B27)</v>
      </c>
    </row>
    <row r="34" spans="1:6" x14ac:dyDescent="0.3">
      <c r="A34" t="s">
        <v>15</v>
      </c>
      <c r="D34">
        <f>D13+0.1*D31</f>
        <v>-0.67082220896346079</v>
      </c>
      <c r="F34" t="str">
        <f ca="1">_xlfn.FORMULATEXT(D34)</f>
        <v>=D13+0.1*D31</v>
      </c>
    </row>
    <row r="35" spans="1:6" x14ac:dyDescent="0.3">
      <c r="A35" t="s">
        <v>16</v>
      </c>
      <c r="D35">
        <f>D13+0.1*D32</f>
        <v>-0.35082220896346072</v>
      </c>
      <c r="F35" t="str">
        <f ca="1">_xlfn.FORMULATEXT(D35)</f>
        <v>=D13+0.1*D32</v>
      </c>
    </row>
    <row r="37" spans="1:6" x14ac:dyDescent="0.3">
      <c r="A37" t="s">
        <v>17</v>
      </c>
      <c r="D37">
        <f>1/(1+2.7183^-D34)</f>
        <v>0.33831175504726491</v>
      </c>
      <c r="F37" t="str">
        <f ca="1">_xlfn.FORMULATEXT(D37)</f>
        <v>=1/(1+2.7183^-D34)</v>
      </c>
    </row>
    <row r="38" spans="1:6" x14ac:dyDescent="0.3">
      <c r="A38" t="s">
        <v>18</v>
      </c>
      <c r="D38">
        <f>1/(1+2.7183^-D35)</f>
        <v>0.41318248313309863</v>
      </c>
      <c r="F38" t="str">
        <f ca="1">_xlfn.FORMULATEXT(D38)</f>
        <v>=1/(1+2.7183^-D35)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GB-Attribute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2026-06-11T03:32:41Z</dcterms:created>
  <dcterms:modified xsi:type="dcterms:W3CDTF">2026-06-11T06:17:32Z</dcterms:modified>
</cp:coreProperties>
</file>